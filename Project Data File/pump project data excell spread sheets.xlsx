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pen HYSYS Projects\"/>
    </mc:Choice>
  </mc:AlternateContent>
  <xr:revisionPtr revIDLastSave="0" documentId="13_ncr:1_{CBF70DAF-B9BF-42DC-A4DD-3A1DFEC608DD}" xr6:coauthVersionLast="47" xr6:coauthVersionMax="47" xr10:uidLastSave="{00000000-0000-0000-0000-000000000000}"/>
  <bookViews>
    <workbookView xWindow="-104" yWindow="-104" windowWidth="22326" windowHeight="11947" firstSheet="1" activeTab="2" xr2:uid="{50A4D972-1F8C-474F-AFF7-E38745E16759}"/>
  </bookViews>
  <sheets>
    <sheet name="Sheet1" sheetId="1" r:id="rId1"/>
    <sheet name="Sheet2" sheetId="2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<sst xmlns="http://schemas.openxmlformats.org/spreadsheetml/2006/main" count="125" uniqueCount="76">
  <si>
    <t xml:space="preserve">pump temperature analysis </t>
  </si>
  <si>
    <t>Pressure head [m]</t>
  </si>
  <si>
    <t>Total Power [kW]</t>
  </si>
  <si>
    <t>Total Rotor [kW]</t>
  </si>
  <si>
    <t>Fluid [kW]</t>
  </si>
  <si>
    <t>Mass flow kg/hr</t>
  </si>
  <si>
    <t>Energy stream heat flow kj/h</t>
  </si>
  <si>
    <t xml:space="preserve">Adiabatic efficiency % </t>
  </si>
  <si>
    <t>Outlet temperature C</t>
  </si>
  <si>
    <t xml:space="preserve">Outlet pressure kpa </t>
  </si>
  <si>
    <t>case</t>
  </si>
  <si>
    <t xml:space="preserve">Changing varaible inlet temperature  </t>
  </si>
  <si>
    <t>20C</t>
  </si>
  <si>
    <t>30C</t>
  </si>
  <si>
    <t>T1</t>
  </si>
  <si>
    <t>T2</t>
  </si>
  <si>
    <t>T3</t>
  </si>
  <si>
    <t>40C</t>
  </si>
  <si>
    <t>T4</t>
  </si>
  <si>
    <t>50C</t>
  </si>
  <si>
    <t>T5</t>
  </si>
  <si>
    <t>60C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</si>
  <si>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</si>
  <si>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</si>
  <si>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</si>
  <si>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</si>
  <si>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</si>
  <si>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</si>
  <si>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</si>
  <si>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</si>
  <si>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</si>
  <si>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</si>
  <si>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</si>
  <si>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 xml:space="preserve">Pump flow rate analysis </t>
  </si>
  <si>
    <t xml:space="preserve">case </t>
  </si>
  <si>
    <t xml:space="preserve">changing varaible flow rate </t>
  </si>
  <si>
    <t>Energy stream heat flow kJ/h</t>
  </si>
  <si>
    <t>F1</t>
  </si>
  <si>
    <t>F2</t>
  </si>
  <si>
    <t>F3</t>
  </si>
  <si>
    <t>F4</t>
  </si>
  <si>
    <t>F5</t>
  </si>
  <si>
    <t>F6</t>
  </si>
  <si>
    <t>Molar Flow Kmol/h</t>
  </si>
  <si>
    <t xml:space="preserve">pressure anlysis </t>
  </si>
  <si>
    <t xml:space="preserve">Molar Flow Kmol/h </t>
  </si>
  <si>
    <t>P1</t>
  </si>
  <si>
    <t>P2</t>
  </si>
  <si>
    <t>P3</t>
  </si>
  <si>
    <t>P4</t>
  </si>
  <si>
    <t xml:space="preserve">changing varaible presssure in Bar  </t>
  </si>
  <si>
    <t xml:space="preserve">3 bar </t>
  </si>
  <si>
    <t>4 bar</t>
  </si>
  <si>
    <t>5 bar</t>
  </si>
  <si>
    <t>6 bar</t>
  </si>
  <si>
    <t>7 bar</t>
  </si>
  <si>
    <t>P5</t>
  </si>
  <si>
    <t>.</t>
  </si>
  <si>
    <t>E1</t>
  </si>
  <si>
    <t>E2</t>
  </si>
  <si>
    <t>E3</t>
  </si>
  <si>
    <t>E4</t>
  </si>
  <si>
    <t>E5</t>
  </si>
  <si>
    <t>Outlet P</t>
  </si>
  <si>
    <t xml:space="preserve">Adiabatic efficiency Analysis </t>
  </si>
  <si>
    <t>Efficiency</t>
  </si>
  <si>
    <t>Column92</t>
  </si>
  <si>
    <t xml:space="preserve">5 bar </t>
  </si>
  <si>
    <t>Flow rate (kg/h)</t>
  </si>
  <si>
    <t>Total Power (kW)</t>
  </si>
  <si>
    <t>Flow Rate (kg/h)</t>
  </si>
  <si>
    <t>Pump Head (m)</t>
  </si>
  <si>
    <t>Outlet Pressure (bar)</t>
  </si>
  <si>
    <t>Pump Power (kW)</t>
  </si>
  <si>
    <t>Inlet Temperature (°C)</t>
  </si>
  <si>
    <t>Pump 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</si>
</sst>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4">
    <dxf>
      <numFmt numFmtId="3" formatCode="#,##0"/>
    </dxf>
    <dxf>
      <numFmt numFmtId="3" formatCode="#,##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Effect of Flow Rate on Pump Power</a:t>
            </a:r>
            <a:r>
              <a:rPr lang="en-US" b="1">
                <a:solidFill>
                  <a:schemeClr val="tx1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Sheet4!$F$9</c:f>
              <c:strCache>
                <c:ptCount val="1"/>
                <c:pt idx="0">
                  <c:v>Total Power (kW)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BD-4E2E-8FE6-58B4C1F2F5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Sheet4!$E$10:$E$15</c:f>
              <c:numCache>
                <c:formatCode>#,##0</c:formatCode>
                <c:ptCount val="6"/>
                <c:pt idx="0">
                  <c:v>5000</c:v>
                </c:pt>
                <c:pt idx="1">
                  <c:v>7500</c:v>
                </c:pt>
                <c:pt idx="2">
                  <c:v>10000</c:v>
                </c:pt>
                <c:pt idx="3">
                  <c:v>12500</c:v>
                </c:pt>
                <c:pt idx="4">
                  <c:v>15000</c:v>
                </c:pt>
                <c:pt idx="5">
                  <c:v>20000</c:v>
                </c:pt>
              </c:numCache>
            </c:numRef>
          </c:xVal>
          <c:yVal>
            <c:numRef>
              <c:f>Sheet4!$F$10:$F$15</c:f>
              <c:numCache>
                <c:formatCode>General</c:formatCode>
                <c:ptCount val="6"/>
                <c:pt idx="0">
                  <c:v>0.79079999999999995</c:v>
                </c:pt>
                <c:pt idx="1">
                  <c:v>1.1861999999999999</c:v>
                </c:pt>
                <c:pt idx="2">
                  <c:v>1.5842000000000001</c:v>
                </c:pt>
                <c:pt idx="3">
                  <c:v>1.9771000000000001</c:v>
                </c:pt>
                <c:pt idx="4">
                  <c:v>2.3723999999999998</c:v>
                </c:pt>
                <c:pt idx="5">
                  <c:v>3.1633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BD-4E2E-8FE6-58B4C1F2F5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96528351"/>
        <c:axId val="436759535"/>
      </c:scatterChart>
      <c:valAx>
        <c:axId val="596528351"/>
        <c:scaling>
          <c:orientation val="minMax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Flow Rate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out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9535"/>
        <c:crosses val="autoZero"/>
        <c:crossBetween val="midCat"/>
      </c:valAx>
      <c:valAx>
        <c:axId val="436759535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>
                    <a:solidFill>
                      <a:schemeClr val="tx1"/>
                    </a:solidFill>
                  </a:rPr>
                  <a:t>Pump Power 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6666666666666666E-2"/>
              <c:y val="0.379587343248760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2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Effect of Flow Rate on Pump Head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Sheet5!$E$5</c:f>
              <c:strCache>
                <c:ptCount val="1"/>
                <c:pt idx="0">
                  <c:v>Pump Head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Sheet5!$D$6:$D$11</c:f>
              <c:numCache>
                <c:formatCode>#,##0</c:formatCode>
                <c:ptCount val="6"/>
                <c:pt idx="0">
                  <c:v>5000</c:v>
                </c:pt>
                <c:pt idx="1">
                  <c:v>7500</c:v>
                </c:pt>
                <c:pt idx="2">
                  <c:v>10000</c:v>
                </c:pt>
                <c:pt idx="3">
                  <c:v>12500</c:v>
                </c:pt>
                <c:pt idx="4">
                  <c:v>15000</c:v>
                </c:pt>
                <c:pt idx="5">
                  <c:v>20000</c:v>
                </c:pt>
              </c:numCache>
            </c:numRef>
          </c:xVal>
          <c:yVal>
            <c:numRef>
              <c:f>Sheet5!$E$6:$E$11</c:f>
              <c:numCache>
                <c:formatCode>General</c:formatCode>
                <c:ptCount val="6"/>
                <c:pt idx="0">
                  <c:v>40.64</c:v>
                </c:pt>
                <c:pt idx="1">
                  <c:v>40.64</c:v>
                </c:pt>
                <c:pt idx="2">
                  <c:v>40.64</c:v>
                </c:pt>
                <c:pt idx="3">
                  <c:v>40.64</c:v>
                </c:pt>
                <c:pt idx="4">
                  <c:v>40.64</c:v>
                </c:pt>
                <c:pt idx="5">
                  <c:v>40.64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0-496E-A591-E53E598FF8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96506079"/>
        <c:axId val="436810895"/>
      </c:scatterChart>
      <c:valAx>
        <c:axId val="596506079"/>
        <c:scaling>
          <c:orientation val="minMax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Flow</a:t>
                </a:r>
                <a:r>
                  <a:rPr lang="en-US" b="1" baseline="0">
                    <a:solidFill>
                      <a:schemeClr val="tx1"/>
                    </a:solidFill>
                  </a:rPr>
                  <a:t> rate 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10895"/>
        <c:crosses val="autoZero"/>
        <c:crossBetween val="midCat"/>
      </c:valAx>
      <c:valAx>
        <c:axId val="436810895"/>
        <c:scaling>
          <c:orientation val="minMax"/>
          <c:max val="5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Pump</a:t>
                </a:r>
                <a:r>
                  <a:rPr lang="en-US" b="1" baseline="0">
                    <a:solidFill>
                      <a:schemeClr val="tx1"/>
                    </a:solidFill>
                  </a:rPr>
                  <a:t> Head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06079"/>
        <c:crosses val="autoZero"/>
        <c:crossBetween val="midCat"/>
        <c:majorUnit val="2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Effect of Discharge Pressure on Pump Power</a:t>
            </a:r>
            <a:endParaRPr lang="en-US" b="1"/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Sheet6!$G$9</c:f>
              <c:strCache>
                <c:ptCount val="1"/>
                <c:pt idx="0">
                  <c:v>Pump Power (kW)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Sheet6!$F$10:$F$14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Sheet6!$G$10:$G$14</c:f>
              <c:numCache>
                <c:formatCode>General</c:formatCode>
                <c:ptCount val="5"/>
                <c:pt idx="0">
                  <c:v>0.79079999999999995</c:v>
                </c:pt>
                <c:pt idx="1">
                  <c:v>1.1861999999999999</c:v>
                </c:pt>
                <c:pt idx="2">
                  <c:v>1.5820000000000001</c:v>
                </c:pt>
                <c:pt idx="3">
                  <c:v>1.9770000000000001</c:v>
                </c:pt>
                <c:pt idx="4">
                  <c:v>2.3723999999999998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02-494B-87C7-FC4CEA0E32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41417887"/>
        <c:axId val="436762415"/>
      </c:scatterChart>
      <c:valAx>
        <c:axId val="44141788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Pressure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62415"/>
        <c:crosses val="autoZero"/>
        <c:crossBetween val="midCat"/>
      </c:valAx>
      <c:valAx>
        <c:axId val="436762415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Pump</a:t>
                </a:r>
                <a:r>
                  <a:rPr lang="en-US" b="1" baseline="0"/>
                  <a:t> Power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3.0555555555555555E-2"/>
              <c:y val="0.398105861767279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17887"/>
        <c:crosses val="autoZero"/>
        <c:crossBetween val="midCat"/>
        <c:majorUnit val="0.5"/>
      </c:valAx>
      <c:spPr>
        <a:noFill/>
        <a:ln cmpd="sng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Effect of Discharge Pressure on Pump Head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Sheet7!$E$7</c:f>
              <c:strCache>
                <c:ptCount val="1"/>
                <c:pt idx="0">
                  <c:v>Pump Head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Sheet7!$D$8:$D$12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Sheet7!$E$8:$E$12</c:f>
              <c:numCache>
                <c:formatCode>General</c:formatCode>
                <c:ptCount val="5"/>
                <c:pt idx="0">
                  <c:v>20.32</c:v>
                </c:pt>
                <c:pt idx="1">
                  <c:v>30.48</c:v>
                </c:pt>
                <c:pt idx="2">
                  <c:v>40.64</c:v>
                </c:pt>
                <c:pt idx="3">
                  <c:v>50.81</c:v>
                </c:pt>
                <c:pt idx="4">
                  <c:v>60.96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A3-4F1B-B10B-6CF12A486A4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8613407"/>
        <c:axId val="436750415"/>
      </c:scatterChart>
      <c:valAx>
        <c:axId val="48861340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Outlet</a:t>
                </a:r>
                <a:r>
                  <a:rPr lang="en-US" b="1" baseline="0"/>
                  <a:t> pressure (Bar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0415"/>
        <c:crosses val="autoZero"/>
        <c:crossBetween val="midCat"/>
      </c:valAx>
      <c:valAx>
        <c:axId val="436750415"/>
        <c:scaling>
          <c:orientation val="minMax"/>
          <c:max val="6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Pump</a:t>
                </a:r>
                <a:r>
                  <a:rPr lang="en-US" b="1" baseline="0"/>
                  <a:t> Head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2.7777777777777776E-2"/>
              <c:y val="0.3569251239428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13407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Effect of Temperature on Pump Power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41426071741032E-2"/>
          <c:y val="0.17634259259259263"/>
          <c:w val="0.87114129483814529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Sheet8!$E$7</c:f>
              <c:strCache>
                <c:ptCount val="1"/>
                <c:pt idx="0">
                  <c:v>Pump Power (kW)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Sheet8!$D$8:$D$12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xVal>
          <c:yVal>
            <c:numRef>
              <c:f>Sheet8!$E$8:$E$12</c:f>
              <c:numCache>
                <c:formatCode>General</c:formatCode>
                <c:ptCount val="5"/>
                <c:pt idx="0">
                  <c:v>1.57</c:v>
                </c:pt>
                <c:pt idx="1">
                  <c:v>1.5842000000000001</c:v>
                </c:pt>
                <c:pt idx="2">
                  <c:v>1.5936999999999999</c:v>
                </c:pt>
                <c:pt idx="3">
                  <c:v>1.6061000000000001</c:v>
                </c:pt>
                <c:pt idx="4">
                  <c:v>1.6189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72-409F-B64F-480D930F7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279967"/>
        <c:axId val="1934631119"/>
      </c:scatterChart>
      <c:valAx>
        <c:axId val="1992279967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Inlet</a:t>
                </a:r>
                <a:r>
                  <a:rPr lang="en-US" b="1" baseline="0">
                    <a:solidFill>
                      <a:srgbClr val="FF0000"/>
                    </a:solidFill>
                  </a:rPr>
                  <a:t> Temperature C</a:t>
                </a:r>
                <a:endParaRPr lang="en-US"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9970039819075487"/>
              <c:y val="0.829993922962448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31119"/>
        <c:crosses val="autoZero"/>
        <c:crossBetween val="midCat"/>
      </c:valAx>
      <c:valAx>
        <c:axId val="1934631119"/>
        <c:scaling>
          <c:orientation val="minMax"/>
          <c:min val="1.5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Pump Power (kW)</a:t>
                </a:r>
              </a:p>
            </c:rich>
          </c:tx>
          <c:layout>
            <c:manualLayout>
              <c:xMode val="edge"/>
              <c:yMode val="edge"/>
              <c:x val="9.850276656610997E-2"/>
              <c:y val="0.36255999330130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279967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Effect of Pump Efficiency on Power Consumption</a:t>
            </a:r>
            <a:endParaRPr lang="en-US" b="1"/>
          </a:p>
        </c:rich>
      </c:tx>
      <c:layout>
        <c:manualLayout>
          <c:xMode val="edge"/>
          <c:yMode val="edge"/>
          <c:x val="0.124805555555555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Sheet9!$D$9</c:f>
              <c:strCache>
                <c:ptCount val="1"/>
                <c:pt idx="0">
                  <c:v>Pump Power (kW)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Sheet9!$C$10:$C$14</c:f>
              <c:numCache>
                <c:formatCode>General</c:formatCod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</c:numCache>
            </c:numRef>
          </c:xVal>
          <c:yVal>
            <c:numRef>
              <c:f>Sheet9!$D$10:$D$14</c:f>
              <c:numCache>
                <c:formatCode>General</c:formatCode>
                <c:ptCount val="5"/>
                <c:pt idx="0">
                  <c:v>2.2143000000000002</c:v>
                </c:pt>
                <c:pt idx="1">
                  <c:v>1.8452</c:v>
                </c:pt>
                <c:pt idx="2">
                  <c:v>1.5820000000000001</c:v>
                </c:pt>
                <c:pt idx="3">
                  <c:v>1.3838999999999999</c:v>
                </c:pt>
                <c:pt idx="4">
                  <c:v>1.2301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4-466F-AC33-D045B77306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88990575"/>
        <c:axId val="1934750639"/>
      </c:scatterChart>
      <c:valAx>
        <c:axId val="1988990575"/>
        <c:scaling>
          <c:orientation val="minMax"/>
          <c:max val="10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Pump Efficiency (%)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low"/>
        <c:spPr>
          <a:noFill/>
          <a:ln w="12700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750639"/>
        <c:crosses val="autoZero"/>
        <c:crossBetween val="midCat"/>
      </c:valAx>
      <c:valAx>
        <c:axId val="1934750639"/>
        <c:scaling>
          <c:orientation val="minMax"/>
          <c:max val="2.2999999999999998"/>
          <c:min val="1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Pump</a:t>
                </a:r>
                <a:r>
                  <a:rPr lang="en-US" b="1" baseline="0"/>
                  <a:t> Power 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990575"/>
        <c:crosses val="autoZero"/>
        <c:crossBetween val="midCat"/>
      </c:valAx>
      <c:spPr>
        <a:noFill/>
        <a:ln w="12700" cmpd="sng">
          <a:solidFill>
            <a:srgbClr val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431596</xdr:colOff>
      <xdr:row>4</xdr:row>
      <xdr:rowOff>138988</xdr:rowOff>
    </xdr:from>
    <xdr:to>
      <xdr:col>13</xdr:col>
      <xdr:colOff>497433</xdr:colOff>
      <xdr:row>19</xdr:row>
      <xdr:rowOff>138988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1268F7-F95B-858C-FEBD-9BB4AE4D7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395021</xdr:colOff>
      <xdr:row>2</xdr:row>
      <xdr:rowOff>65836</xdr:rowOff>
    </xdr:from>
    <xdr:to>
      <xdr:col>12</xdr:col>
      <xdr:colOff>460858</xdr:colOff>
      <xdr:row>17</xdr:row>
      <xdr:rowOff>65836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BA3D6F-B944-7CE9-6C80-22A23EA4C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29262</xdr:colOff>
      <xdr:row>3</xdr:row>
      <xdr:rowOff>51206</xdr:rowOff>
    </xdr:from>
    <xdr:to>
      <xdr:col>15</xdr:col>
      <xdr:colOff>95098</xdr:colOff>
      <xdr:row>18</xdr:row>
      <xdr:rowOff>51206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D3F57-60B7-50AA-707F-5824B9509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321869</xdr:colOff>
      <xdr:row>3</xdr:row>
      <xdr:rowOff>43891</xdr:rowOff>
    </xdr:from>
    <xdr:to>
      <xdr:col>12</xdr:col>
      <xdr:colOff>387706</xdr:colOff>
      <xdr:row>18</xdr:row>
      <xdr:rowOff>43891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1E083-7B7A-28BB-E616-C97F1B435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490119</xdr:colOff>
      <xdr:row>2</xdr:row>
      <xdr:rowOff>131672</xdr:rowOff>
    </xdr:from>
    <xdr:to>
      <xdr:col>12</xdr:col>
      <xdr:colOff>625450</xdr:colOff>
      <xdr:row>19</xdr:row>
      <xdr:rowOff>175564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4CA5D-9326-F032-AD0C-37E58F6AA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299923</xdr:colOff>
      <xdr:row>4</xdr:row>
      <xdr:rowOff>29260</xdr:rowOff>
    </xdr:from>
    <xdr:to>
      <xdr:col>12</xdr:col>
      <xdr:colOff>365760</xdr:colOff>
      <xdr:row>19</xdr:row>
      <xdr:rowOff>29260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2522B-D0CA-49FF-6D99-9FD3377FF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10EA8-1F8E-4091-ADAF-32151E31E7FA}" name="Table1" displayName="Table1" ref="C4:M11" totalsRowShown="0" dataDxfId="43">
  <autoFilter ref="C4:M11" xr:uid="{C8210EA8-1F8E-4091-ADAF-32151E31E7FA}"/>
  <tableColumns count="11">
    <tableColumn id="1" xr3:uid="{37EF2D5A-588D-4461-9B93-2A9DC3F4C93A}" name="Column1" dataDxfId="42"/>
    <tableColumn id="2" xr3:uid="{1A7EFB36-A058-4688-92F5-75CB76010317}" name="Column2" dataDxfId="41"/>
    <tableColumn id="3" xr3:uid="{EDBA30D5-A859-4FD4-83C4-0274CD56055E}" name="Column3" dataDxfId="40"/>
    <tableColumn id="4" xr3:uid="{CD0AE5F0-A645-433E-8F44-CF0DF51E1E3E}" name="Column4" dataDxfId="39"/>
    <tableColumn id="5" xr3:uid="{20CB2E23-4434-4E0B-8F90-E491B6CEDBF2}" name="Column5" dataDxfId="38"/>
    <tableColumn id="6" xr3:uid="{643D0430-AEBD-49B1-B189-BE666C7019FC}" name="Column6" dataDxfId="37"/>
    <tableColumn id="7" xr3:uid="{13C1C800-31CF-46F5-9034-514F2C8D21D9}" name="Column7" dataDxfId="36"/>
    <tableColumn id="8" xr3:uid="{15149FEF-F000-4926-8046-A50589233ECB}" name="Column8" dataDxfId="35"/>
    <tableColumn id="9" xr3:uid="{B3593E6A-995C-44DB-92E9-4D8AF733D3D5}" name="Column9" dataDxfId="34"/>
    <tableColumn id="10" xr3:uid="{12531E6E-4B52-4DD2-97EE-7495C4E791F7}" name="Column10" dataDxfId="33"/>
    <tableColumn id="11" xr3:uid="{36BCCE0C-FFEE-488F-8B42-0F6BE024460F}" name="Column11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C4226C-7EAC-488E-B5C6-0E334BC6B12D}" name="Table2" displayName="Table2" ref="C15:M22" totalsRowShown="0" dataDxfId="31">
  <autoFilter ref="C15:M22" xr:uid="{67C4226C-7EAC-488E-B5C6-0E334BC6B12D}"/>
  <tableColumns count="11">
    <tableColumn id="1" xr3:uid="{CA5E724C-2FD6-4DE7-A960-3A6FBBD5EFDA}" name="Column1" dataDxfId="30"/>
    <tableColumn id="2" xr3:uid="{48ECCC98-F32E-4D7F-8B6C-B7613277E494}" name="Pump flow rate analysis " dataDxfId="29"/>
    <tableColumn id="3" xr3:uid="{A175A600-C7B4-4092-8953-67331DD2077C}" name="Column2" dataDxfId="28"/>
    <tableColumn id="4" xr3:uid="{9AA257DC-F694-4AE5-AC90-D4B583B6D10A}" name="Column3" dataDxfId="27"/>
    <tableColumn id="5" xr3:uid="{291CA239-C551-4C07-99D1-49263E09A8D1}" name="Column4" dataDxfId="26"/>
    <tableColumn id="6" xr3:uid="{B6F8B03F-4980-4CFF-B461-8C4E22EEE846}" name="Column5" dataDxfId="25"/>
    <tableColumn id="7" xr3:uid="{C5D7193B-4A22-42C4-ADC8-921BE42738E5}" name="Column6" dataDxfId="24"/>
    <tableColumn id="8" xr3:uid="{84E6570C-EBB2-451A-BF24-42B756C5CCB2}" name="Column7" dataDxfId="23"/>
    <tableColumn id="9" xr3:uid="{48979E8D-43D5-4511-82C9-15F1CFFA225D}" name="Column8" dataDxfId="22"/>
    <tableColumn id="10" xr3:uid="{FB6229E2-7F70-40D6-BC69-0BD1C6778571}" name="Column9" dataDxfId="21"/>
    <tableColumn id="11" xr3:uid="{99EF967F-691F-4BE3-8591-6371374EC453}" name="Column10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A0AF5E-CF21-4AFD-9BA1-6B64185BA0CB}" name="Table3" displayName="Table3" ref="D9:K15" totalsRowShown="0" dataDxfId="19">
  <autoFilter ref="D9:K15" xr:uid="{14A0AF5E-CF21-4AFD-9BA1-6B64185BA0CB}"/>
  <tableColumns count="8">
    <tableColumn id="1" xr3:uid="{9BBD1F37-A283-483F-BCE4-4C9AE44D7980}" name="pressure anlysis " dataDxfId="18"/>
    <tableColumn id="2" xr3:uid="{EA8F4C85-2D3E-441D-AFF9-E9AED097E11A}" name="Column1" dataDxfId="17"/>
    <tableColumn id="3" xr3:uid="{48C47102-AC9E-49EB-8618-7448DE37E140}" name="Column2" dataDxfId="16"/>
    <tableColumn id="4" xr3:uid="{C0FC52DD-367C-407E-B99D-036D0A13569F}" name="Column3" dataDxfId="15"/>
    <tableColumn id="6" xr3:uid="{5BA91BA5-3B40-4A09-BF72-71522960DA5D}" name="Column5" dataDxfId="14"/>
    <tableColumn id="8" xr3:uid="{B848194E-CE1E-46F2-AC6C-6DA959F51DC9}" name="Column7" dataDxfId="13"/>
    <tableColumn id="9" xr3:uid="{09021EC4-25DD-44A4-9ABD-BD88F895A0E6}" name="Column8" dataDxfId="12"/>
    <tableColumn id="10" xr3:uid="{450EBFD3-0A9A-4329-A10D-50FE714EB986}" name="Column9" dataDxfId="11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3FE5EE-5FDA-40F7-BC68-4FEBCBC24D99}" name="Table4" displayName="Table4" ref="D17:J25" totalsRowShown="0" headerRowDxfId="10" dataDxfId="9">
  <autoFilter ref="D17:J25" xr:uid="{613FE5EE-5FDA-40F7-BC68-4FEBCBC24D99}"/>
  <tableColumns count="7">
    <tableColumn id="10" xr3:uid="{BFDC7C3F-9DFB-444E-8777-927B7ECAA623}" name="Column10" dataDxfId="8"/>
    <tableColumn id="1" xr3:uid="{E6CBD27F-68DA-4AE8-8050-F97939D8049A}" name="Column1" dataDxfId="7"/>
    <tableColumn id="2" xr3:uid="{8DB52DD0-2B7A-4329-8E47-BEFD6A949BDD}" name="Column2" dataDxfId="6"/>
    <tableColumn id="3" xr3:uid="{E59BD14F-FD40-45C5-89C3-7E5F7C6A02F1}" name="Column3" dataDxfId="5"/>
    <tableColumn id="6" xr3:uid="{89A7C306-8DAA-4E65-BF34-0BD894CE2404}" name="Column6" dataDxfId="4"/>
    <tableColumn id="8" xr3:uid="{8170792D-57B7-4F2B-BF7C-75745B045533}" name="Column8" dataDxfId="3"/>
    <tableColumn id="11" xr3:uid="{C6BDE806-FAC6-4709-B2E9-B0CC2F5BFFDA}" name="Column92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E5261F-9BCC-49C4-97C9-C7161941F8FD}" name="Table6" displayName="Table6" ref="E9:F15" totalsRowShown="0">
  <autoFilter ref="E9:F15" xr:uid="{52E5261F-9BCC-49C4-97C9-C7161941F8FD}"/>
  <tableColumns count="2">
    <tableColumn id="1" xr3:uid="{E0051C48-97B9-49A3-ABAC-135107066DF7}" name="Flow rate (kg/h)" dataDxfId="1"/>
    <tableColumn id="2" xr3:uid="{58B1E59C-C6D1-476B-A622-F4BCDB9C29EA}" name="Total Power (kW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64416E-E05E-4BF9-8F6C-7FE1D8E5C439}" name="Table7" displayName="Table7" ref="D5:E11" totalsRowShown="0">
  <autoFilter ref="D5:E11" xr:uid="{4864416E-E05E-4BF9-8F6C-7FE1D8E5C439}"/>
  <tableColumns count="2">
    <tableColumn id="1" xr3:uid="{7D0A9877-94E4-4B68-B86C-40A5152105BC}" name="Flow Rate (kg/h)" dataDxfId="0"/>
    <tableColumn id="2" xr3:uid="{A02C0321-866B-457B-9F19-203526A3797B}" name="Pump Head (m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850D73-2605-4576-9196-2F6443658769}" name="Table8" displayName="Table8" ref="F9:G14" totalsRowShown="0">
  <autoFilter ref="F9:G14" xr:uid="{8E850D73-2605-4576-9196-2F6443658769}"/>
  <tableColumns count="2">
    <tableColumn id="1" xr3:uid="{566A14AE-2DF4-4F0D-8A47-32EDF9DE5E23}" name="Outlet Pressure (bar)"/>
    <tableColumn id="2" xr3:uid="{93A7C61D-85AB-4368-8FFF-0F62A271B682}" name="Pump Power (kW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1F2A35-5100-49D3-9C2F-2D5D7E2311EC}" name="Table9" displayName="Table9" ref="D7:E12" totalsRowShown="0">
  <autoFilter ref="D7:E12" xr:uid="{B51F2A35-5100-49D3-9C2F-2D5D7E2311EC}"/>
  <tableColumns count="2">
    <tableColumn id="1" xr3:uid="{808761C5-C7B6-4E6F-9B67-E61502823E17}" name="Outlet Pressure (bar)"/>
    <tableColumn id="2" xr3:uid="{895DA9C9-1848-4B41-A6B1-FB7BDD9D6FEA}" name="Pump Head (m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8385E07-BA5B-45B7-AB98-6919D8D64C2A}" name="Table10" displayName="Table10" ref="D7:E12" totalsRowShown="0">
  <autoFilter ref="D7:E12" xr:uid="{F8385E07-BA5B-45B7-AB98-6919D8D64C2A}"/>
  <tableColumns count="2">
    <tableColumn id="1" xr3:uid="{51022D10-E791-4683-B585-B19E8816A9CC}" name="Inlet Temperature (°C)"/>
    <tableColumn id="2" xr3:uid="{20C03E02-287C-45E9-A550-02AD0A46AD10}" name="Pump Power (kW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DB34BC7-C9FB-492E-ABFC-68A4CEEC201E}" name="Table11" displayName="Table11" ref="C9:D14" totalsRowShown="0">
  <autoFilter ref="C9:D14" xr:uid="{BDB34BC7-C9FB-492E-ABFC-68A4CEEC201E}"/>
  <tableColumns count="2">
    <tableColumn id="1" xr3:uid="{80C61308-6ABF-4C0D-8C9E-72B5CAFE0753}" name="Pump Efficiency (%)"/>
    <tableColumn id="2" xr3:uid="{B5785C85-3D5B-4D5D-AE22-45783D975ADB}" name="Pump Power (kW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81DE-FB4C-4B93-8508-3DACA65AC2D2}">
  <dimension ref="C4:M22"/>
  <sheetViews>
    <sheetView topLeftCell="B8" zoomScale="90" zoomScaleNormal="90" workbookViewId="0">
      <selection activeCell="C16" sqref="C16:M22"/>
    </sheetView>
  </sheetViews>
  <sheetFormatPr defaultRowHeight="14.4" x14ac:dyDescent="0.3"/>
  <cols>
    <col min="3" max="3" width="9.8984375" customWidth="1"/>
    <col min="4" max="4" width="29.59765625" customWidth="1"/>
    <col min="5" max="5" width="15.296875" customWidth="1"/>
    <col min="6" max="6" width="16" customWidth="1"/>
    <col min="7" max="7" width="15.69921875" customWidth="1"/>
    <col min="8" max="8" width="12.09765625" customWidth="1"/>
    <col min="9" max="9" width="20.59765625" customWidth="1"/>
    <col min="10" max="10" width="17.5" customWidth="1"/>
    <col min="11" max="11" width="13.796875" customWidth="1"/>
    <col min="12" max="12" width="23" customWidth="1"/>
    <col min="13" max="13" width="20.5" customWidth="1"/>
  </cols>
  <sheetData>
    <row r="4" spans="3:13" x14ac:dyDescent="0.3"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</row>
    <row r="5" spans="3:13" x14ac:dyDescent="0.3">
      <c r="C5" s="3"/>
      <c r="D5" s="3" t="s">
        <v>0</v>
      </c>
      <c r="E5" s="3"/>
      <c r="F5" s="3"/>
      <c r="G5" s="3"/>
      <c r="H5" s="3"/>
      <c r="I5" s="3"/>
      <c r="J5" s="3"/>
      <c r="K5" s="3"/>
      <c r="L5" s="3"/>
      <c r="M5" s="3"/>
    </row>
    <row r="6" spans="3:13" x14ac:dyDescent="0.3">
      <c r="C6" s="3" t="s">
        <v>10</v>
      </c>
      <c r="D6" s="3" t="s">
        <v>11</v>
      </c>
      <c r="E6" s="3" t="s">
        <v>1</v>
      </c>
      <c r="F6" s="3" t="s">
        <v>2</v>
      </c>
      <c r="G6" s="3" t="s">
        <v>3</v>
      </c>
      <c r="H6" s="3" t="s">
        <v>4</v>
      </c>
      <c r="I6" s="3" t="s">
        <v>8</v>
      </c>
      <c r="J6" s="3" t="s">
        <v>9</v>
      </c>
      <c r="K6" s="3" t="s">
        <v>5</v>
      </c>
      <c r="L6" s="3" t="s">
        <v>6</v>
      </c>
      <c r="M6" s="3" t="s">
        <v>7</v>
      </c>
    </row>
    <row r="7" spans="3:13" x14ac:dyDescent="0.3">
      <c r="C7" s="3" t="s">
        <v>14</v>
      </c>
      <c r="D7" s="3" t="s">
        <v>12</v>
      </c>
      <c r="E7" s="3">
        <v>40.340000000000003</v>
      </c>
      <c r="F7" s="3">
        <v>1.57</v>
      </c>
      <c r="G7" s="3">
        <v>1.57</v>
      </c>
      <c r="H7" s="3">
        <v>1.57</v>
      </c>
      <c r="I7" s="3">
        <v>20.04</v>
      </c>
      <c r="J7" s="3">
        <v>500</v>
      </c>
      <c r="K7" s="3">
        <v>10000</v>
      </c>
      <c r="L7" s="3">
        <v>5652</v>
      </c>
      <c r="M7" s="3">
        <v>70</v>
      </c>
    </row>
    <row r="8" spans="3:13" x14ac:dyDescent="0.3">
      <c r="C8" s="3" t="s">
        <v>15</v>
      </c>
      <c r="D8" s="3" t="s">
        <v>13</v>
      </c>
      <c r="E8" s="3">
        <v>40.64</v>
      </c>
      <c r="F8" s="3">
        <v>1.5842000000000001</v>
      </c>
      <c r="G8" s="3">
        <v>1.5842000000000001</v>
      </c>
      <c r="H8" s="3">
        <v>1.5840000000000001</v>
      </c>
      <c r="I8" s="3">
        <v>30.05</v>
      </c>
      <c r="J8" s="3">
        <v>500</v>
      </c>
      <c r="K8" s="3">
        <v>10000</v>
      </c>
      <c r="L8" s="3">
        <v>5693</v>
      </c>
      <c r="M8" s="3">
        <v>70</v>
      </c>
    </row>
    <row r="9" spans="3:13" x14ac:dyDescent="0.3">
      <c r="C9" s="3" t="s">
        <v>16</v>
      </c>
      <c r="D9" s="3" t="s">
        <v>17</v>
      </c>
      <c r="E9" s="3">
        <v>40.950000000000003</v>
      </c>
      <c r="F9" s="3">
        <v>1.5936999999999999</v>
      </c>
      <c r="G9" s="3">
        <v>1.5936999999999999</v>
      </c>
      <c r="H9" s="3">
        <v>1.593</v>
      </c>
      <c r="I9" s="3">
        <v>40.049999999999997</v>
      </c>
      <c r="J9" s="3">
        <v>500</v>
      </c>
      <c r="K9" s="3">
        <v>10000</v>
      </c>
      <c r="L9" s="3">
        <v>5737.4885633282202</v>
      </c>
      <c r="M9" s="3">
        <v>70</v>
      </c>
    </row>
    <row r="10" spans="3:13" x14ac:dyDescent="0.3">
      <c r="C10" s="3" t="s">
        <v>18</v>
      </c>
      <c r="D10" s="3" t="s">
        <v>19</v>
      </c>
      <c r="E10" s="3">
        <v>41.27</v>
      </c>
      <c r="F10" s="3">
        <v>1.6061000000000001</v>
      </c>
      <c r="G10" s="3">
        <v>1.6061000000000001</v>
      </c>
      <c r="H10" s="3">
        <v>1.6060000000000001</v>
      </c>
      <c r="I10" s="3">
        <v>50.05</v>
      </c>
      <c r="J10" s="3">
        <v>500</v>
      </c>
      <c r="K10" s="3">
        <v>10000</v>
      </c>
      <c r="L10" s="3">
        <v>5782.2627820287198</v>
      </c>
      <c r="M10" s="3">
        <v>70</v>
      </c>
    </row>
    <row r="11" spans="3:13" x14ac:dyDescent="0.3">
      <c r="C11" s="3" t="s">
        <v>20</v>
      </c>
      <c r="D11" s="3" t="s">
        <v>21</v>
      </c>
      <c r="E11" s="3">
        <v>41.6</v>
      </c>
      <c r="F11" s="3">
        <v>1.6189</v>
      </c>
      <c r="G11" s="3">
        <v>1.6189</v>
      </c>
      <c r="H11" s="3">
        <v>1.6180000000000001</v>
      </c>
      <c r="I11" s="3">
        <v>60.05</v>
      </c>
      <c r="J11" s="3">
        <v>500</v>
      </c>
      <c r="K11" s="3">
        <v>10000</v>
      </c>
      <c r="L11" s="3">
        <v>5828.3860759258996</v>
      </c>
      <c r="M11" s="3">
        <v>70</v>
      </c>
    </row>
    <row r="15" spans="3:13" x14ac:dyDescent="0.3">
      <c r="C15" t="s">
        <v>22</v>
      </c>
      <c r="D15" t="s">
        <v>33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</row>
    <row r="16" spans="3:13" x14ac:dyDescent="0.3">
      <c r="C16" s="3" t="s">
        <v>34</v>
      </c>
      <c r="D16" s="3" t="s">
        <v>35</v>
      </c>
      <c r="E16" s="3" t="s">
        <v>1</v>
      </c>
      <c r="F16" s="3" t="s">
        <v>2</v>
      </c>
      <c r="G16" s="3" t="s">
        <v>3</v>
      </c>
      <c r="H16" s="3" t="s">
        <v>4</v>
      </c>
      <c r="I16" s="3" t="s">
        <v>8</v>
      </c>
      <c r="J16" s="3" t="s">
        <v>9</v>
      </c>
      <c r="K16" s="3" t="s">
        <v>7</v>
      </c>
      <c r="L16" s="3" t="s">
        <v>36</v>
      </c>
      <c r="M16" s="3" t="s">
        <v>43</v>
      </c>
    </row>
    <row r="17" spans="3:13" x14ac:dyDescent="0.3">
      <c r="C17" s="3" t="s">
        <v>37</v>
      </c>
      <c r="D17" s="3">
        <v>5000</v>
      </c>
      <c r="E17" s="3">
        <v>40.64</v>
      </c>
      <c r="F17" s="3">
        <v>0.79083018778201397</v>
      </c>
      <c r="G17" s="3">
        <v>0.79083018778201397</v>
      </c>
      <c r="H17" s="3">
        <v>0.79083018778201397</v>
      </c>
      <c r="I17" s="3">
        <v>30.05</v>
      </c>
      <c r="J17" s="3">
        <v>500</v>
      </c>
      <c r="K17" s="3">
        <v>70</v>
      </c>
      <c r="L17" s="3">
        <v>2846.98</v>
      </c>
      <c r="M17" s="3">
        <v>277</v>
      </c>
    </row>
    <row r="18" spans="3:13" x14ac:dyDescent="0.3">
      <c r="C18" s="3" t="s">
        <v>38</v>
      </c>
      <c r="D18" s="3">
        <v>7500</v>
      </c>
      <c r="E18" s="3">
        <v>40.64</v>
      </c>
      <c r="F18" s="3">
        <v>1.1861999999999999</v>
      </c>
      <c r="G18" s="3">
        <v>1.1861999999999999</v>
      </c>
      <c r="H18" s="3">
        <v>1.1861999999999999</v>
      </c>
      <c r="I18" s="3">
        <v>30.05</v>
      </c>
      <c r="J18" s="3">
        <v>500</v>
      </c>
      <c r="K18" s="3">
        <v>70</v>
      </c>
      <c r="L18" s="3">
        <v>4270.4799999999996</v>
      </c>
      <c r="M18" s="3">
        <v>416.31</v>
      </c>
    </row>
    <row r="19" spans="3:13" x14ac:dyDescent="0.3">
      <c r="C19" s="3" t="s">
        <v>39</v>
      </c>
      <c r="D19" s="3">
        <v>10000</v>
      </c>
      <c r="E19" s="3">
        <v>40.64</v>
      </c>
      <c r="F19" s="3">
        <v>1.5842000000000001</v>
      </c>
      <c r="G19" s="3">
        <v>1.5842000000000001</v>
      </c>
      <c r="H19" s="3">
        <v>1.5840000000000001</v>
      </c>
      <c r="I19" s="3">
        <v>30.05</v>
      </c>
      <c r="J19" s="3">
        <v>500</v>
      </c>
      <c r="K19" s="3">
        <v>70</v>
      </c>
      <c r="L19" s="3">
        <v>5693</v>
      </c>
      <c r="M19" s="3">
        <v>555.1</v>
      </c>
    </row>
    <row r="20" spans="3:13" x14ac:dyDescent="0.3">
      <c r="C20" s="3" t="s">
        <v>40</v>
      </c>
      <c r="D20" s="3">
        <v>12500</v>
      </c>
      <c r="E20" s="3">
        <v>40.64</v>
      </c>
      <c r="F20" s="3">
        <v>1.9771000000000001</v>
      </c>
      <c r="G20" s="3"/>
      <c r="H20" s="3"/>
      <c r="I20" s="3">
        <v>30.05</v>
      </c>
      <c r="J20" s="3">
        <v>500</v>
      </c>
      <c r="K20" s="3">
        <v>70</v>
      </c>
      <c r="L20" s="3">
        <v>7117</v>
      </c>
      <c r="M20" s="3">
        <v>693.86</v>
      </c>
    </row>
    <row r="21" spans="3:13" x14ac:dyDescent="0.3">
      <c r="C21" s="3" t="s">
        <v>41</v>
      </c>
      <c r="D21" s="3">
        <v>15000</v>
      </c>
      <c r="E21" s="3">
        <v>40.64</v>
      </c>
      <c r="F21" s="3">
        <v>2.3723999999999998</v>
      </c>
      <c r="G21" s="3">
        <v>2.3723999999999998</v>
      </c>
      <c r="H21" s="3">
        <v>2.3723999999999998</v>
      </c>
      <c r="I21" s="3">
        <v>30.05</v>
      </c>
      <c r="J21" s="3">
        <v>500</v>
      </c>
      <c r="K21" s="3">
        <v>70</v>
      </c>
      <c r="L21" s="3">
        <v>8540.9599999999991</v>
      </c>
      <c r="M21" s="3">
        <v>832.63</v>
      </c>
    </row>
    <row r="22" spans="3:13" x14ac:dyDescent="0.3">
      <c r="C22" s="3" t="s">
        <v>42</v>
      </c>
      <c r="D22" s="3">
        <v>20000</v>
      </c>
      <c r="E22" s="3">
        <v>40.64</v>
      </c>
      <c r="F22" s="3">
        <v>3.1633</v>
      </c>
      <c r="G22" s="3">
        <v>3.1633</v>
      </c>
      <c r="H22" s="3">
        <v>3.1633</v>
      </c>
      <c r="I22" s="3">
        <v>30.05</v>
      </c>
      <c r="J22" s="3">
        <v>500</v>
      </c>
      <c r="K22" s="3">
        <v>70</v>
      </c>
      <c r="L22" s="3">
        <v>11387.95</v>
      </c>
      <c r="M22" s="3">
        <v>1110.17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4C7E-AA31-4F02-8915-0D6671EB2162}">
  <dimension ref="D9:K25"/>
  <sheetViews>
    <sheetView topLeftCell="A5" zoomScale="85" zoomScaleNormal="85" workbookViewId="0">
      <selection activeCell="D29" sqref="D29"/>
    </sheetView>
  </sheetViews>
  <sheetFormatPr defaultRowHeight="14.4" x14ac:dyDescent="0.3"/>
  <cols>
    <col min="4" max="4" width="15.796875" customWidth="1"/>
    <col min="5" max="5" width="30.19921875" customWidth="1"/>
    <col min="6" max="6" width="17.796875" customWidth="1"/>
    <col min="7" max="7" width="16.5" customWidth="1"/>
    <col min="8" max="8" width="17.296875" customWidth="1"/>
    <col min="9" max="9" width="17.8984375" customWidth="1"/>
    <col min="10" max="10" width="23.296875" customWidth="1"/>
    <col min="11" max="11" width="21.59765625" customWidth="1"/>
    <col min="12" max="12" width="25.09765625" customWidth="1"/>
    <col min="13" max="13" width="17.296875" customWidth="1"/>
    <col min="14" max="14" width="22" customWidth="1"/>
  </cols>
  <sheetData>
    <row r="9" spans="4:11" x14ac:dyDescent="0.3">
      <c r="D9" t="s">
        <v>44</v>
      </c>
      <c r="E9" t="s">
        <v>22</v>
      </c>
      <c r="F9" t="s">
        <v>23</v>
      </c>
      <c r="G9" t="s">
        <v>24</v>
      </c>
      <c r="H9" t="s">
        <v>26</v>
      </c>
      <c r="I9" t="s">
        <v>28</v>
      </c>
      <c r="J9" t="s">
        <v>29</v>
      </c>
      <c r="K9" t="s">
        <v>30</v>
      </c>
    </row>
    <row r="10" spans="4:11" x14ac:dyDescent="0.3">
      <c r="D10" s="3" t="s">
        <v>34</v>
      </c>
      <c r="E10" s="3" t="s">
        <v>50</v>
      </c>
      <c r="F10" s="3" t="s">
        <v>1</v>
      </c>
      <c r="G10" s="3" t="s">
        <v>2</v>
      </c>
      <c r="H10" s="3" t="s">
        <v>8</v>
      </c>
      <c r="I10" s="3" t="s">
        <v>45</v>
      </c>
      <c r="J10" s="3" t="s">
        <v>36</v>
      </c>
      <c r="K10" s="3" t="s">
        <v>7</v>
      </c>
    </row>
    <row r="11" spans="4:11" x14ac:dyDescent="0.3">
      <c r="D11" s="3" t="s">
        <v>46</v>
      </c>
      <c r="E11" s="3" t="s">
        <v>51</v>
      </c>
      <c r="F11" s="3">
        <v>20.32</v>
      </c>
      <c r="G11" s="3">
        <v>0.79079999999999995</v>
      </c>
      <c r="H11" s="3">
        <v>30.03</v>
      </c>
      <c r="I11" s="3">
        <v>555.1</v>
      </c>
      <c r="J11" s="3">
        <v>2846.98</v>
      </c>
      <c r="K11" s="3">
        <v>70</v>
      </c>
    </row>
    <row r="12" spans="4:11" x14ac:dyDescent="0.3">
      <c r="D12" s="3" t="s">
        <v>47</v>
      </c>
      <c r="E12" s="3" t="s">
        <v>52</v>
      </c>
      <c r="F12" s="3">
        <v>30.48</v>
      </c>
      <c r="G12" s="3">
        <v>1.1861999999999999</v>
      </c>
      <c r="H12" s="3">
        <v>30.03</v>
      </c>
      <c r="I12" s="3">
        <v>555.1</v>
      </c>
      <c r="J12" s="3">
        <v>4270.4799999999996</v>
      </c>
      <c r="K12" s="3">
        <v>70</v>
      </c>
    </row>
    <row r="13" spans="4:11" x14ac:dyDescent="0.3">
      <c r="D13" s="3" t="s">
        <v>48</v>
      </c>
      <c r="E13" s="3" t="s">
        <v>53</v>
      </c>
      <c r="F13" s="2">
        <v>40.64</v>
      </c>
      <c r="G13" s="3">
        <v>1.5820000000000001</v>
      </c>
      <c r="H13" s="3">
        <v>30.05</v>
      </c>
      <c r="I13" s="3">
        <v>555.1</v>
      </c>
      <c r="J13" s="3">
        <v>5693.97</v>
      </c>
      <c r="K13" s="3">
        <v>70</v>
      </c>
    </row>
    <row r="14" spans="4:11" x14ac:dyDescent="0.3">
      <c r="D14" s="3" t="s">
        <v>49</v>
      </c>
      <c r="E14" s="3" t="s">
        <v>54</v>
      </c>
      <c r="F14" s="3">
        <v>50.81</v>
      </c>
      <c r="G14" s="3">
        <v>1.9770000000000001</v>
      </c>
      <c r="H14" s="3">
        <v>30.06</v>
      </c>
      <c r="I14" s="3">
        <v>555.1</v>
      </c>
      <c r="J14" s="3">
        <v>7117.47</v>
      </c>
      <c r="K14" s="3">
        <v>70</v>
      </c>
    </row>
    <row r="15" spans="4:11" x14ac:dyDescent="0.3">
      <c r="D15" s="3" t="s">
        <v>56</v>
      </c>
      <c r="E15" s="3" t="s">
        <v>55</v>
      </c>
      <c r="F15" s="3">
        <v>60.96</v>
      </c>
      <c r="G15" s="3">
        <v>2.3723999999999998</v>
      </c>
      <c r="H15" s="3">
        <v>30.07</v>
      </c>
      <c r="I15" s="3">
        <v>555.1</v>
      </c>
      <c r="J15" s="3">
        <v>8540.9599999999991</v>
      </c>
      <c r="K15" s="3">
        <v>70</v>
      </c>
    </row>
    <row r="17" spans="4:10" x14ac:dyDescent="0.3">
      <c r="D17" s="3" t="s">
        <v>31</v>
      </c>
      <c r="E17" s="3" t="s">
        <v>22</v>
      </c>
      <c r="F17" s="3" t="s">
        <v>23</v>
      </c>
      <c r="G17" s="3" t="s">
        <v>24</v>
      </c>
      <c r="H17" s="3" t="s">
        <v>27</v>
      </c>
      <c r="I17" s="3" t="s">
        <v>29</v>
      </c>
      <c r="J17" s="3" t="s">
        <v>66</v>
      </c>
    </row>
    <row r="18" spans="4:10" x14ac:dyDescent="0.3">
      <c r="D18" s="3"/>
      <c r="E18" s="3" t="s">
        <v>57</v>
      </c>
      <c r="F18" s="3"/>
      <c r="G18" s="3"/>
      <c r="H18" s="3"/>
      <c r="I18" s="3"/>
      <c r="J18" s="3"/>
    </row>
    <row r="19" spans="4:10" x14ac:dyDescent="0.3">
      <c r="D19" s="3"/>
      <c r="E19" s="3" t="s">
        <v>64</v>
      </c>
      <c r="F19" s="3"/>
      <c r="G19" s="3"/>
      <c r="H19" s="3"/>
      <c r="I19" s="3"/>
      <c r="J19" s="3"/>
    </row>
    <row r="20" spans="4:10" x14ac:dyDescent="0.3">
      <c r="D20" s="3" t="s">
        <v>65</v>
      </c>
      <c r="E20" s="3" t="s">
        <v>10</v>
      </c>
      <c r="F20" s="3" t="s">
        <v>1</v>
      </c>
      <c r="G20" s="3" t="s">
        <v>2</v>
      </c>
      <c r="H20" s="3" t="s">
        <v>8</v>
      </c>
      <c r="I20" s="3" t="s">
        <v>63</v>
      </c>
      <c r="J20" s="3" t="s">
        <v>36</v>
      </c>
    </row>
    <row r="21" spans="4:10" x14ac:dyDescent="0.3">
      <c r="D21" s="3">
        <v>50</v>
      </c>
      <c r="E21" s="3" t="s">
        <v>58</v>
      </c>
      <c r="F21" s="3">
        <v>40.64</v>
      </c>
      <c r="G21" s="3">
        <v>2.2143000000000002</v>
      </c>
      <c r="H21" s="3">
        <v>30.05</v>
      </c>
      <c r="I21" s="3" t="s">
        <v>67</v>
      </c>
      <c r="J21" s="3">
        <v>7972</v>
      </c>
    </row>
    <row r="22" spans="4:10" x14ac:dyDescent="0.3">
      <c r="D22" s="3">
        <v>60</v>
      </c>
      <c r="E22" s="3" t="s">
        <v>59</v>
      </c>
      <c r="F22" s="3">
        <v>40.64</v>
      </c>
      <c r="G22" s="3">
        <v>1.8452</v>
      </c>
      <c r="H22" s="3">
        <v>30.07</v>
      </c>
      <c r="I22" s="3" t="s">
        <v>67</v>
      </c>
      <c r="J22" s="3">
        <v>6643</v>
      </c>
    </row>
    <row r="23" spans="4:10" x14ac:dyDescent="0.3">
      <c r="D23" s="3">
        <v>70</v>
      </c>
      <c r="E23" s="3" t="s">
        <v>60</v>
      </c>
      <c r="F23" s="3">
        <v>40.64</v>
      </c>
      <c r="G23" s="3">
        <v>1.5820000000000001</v>
      </c>
      <c r="H23" s="3">
        <v>30.05</v>
      </c>
      <c r="I23" s="3" t="s">
        <v>67</v>
      </c>
      <c r="J23" s="3">
        <v>5694</v>
      </c>
    </row>
    <row r="24" spans="4:10" x14ac:dyDescent="0.3">
      <c r="D24" s="3">
        <v>80</v>
      </c>
      <c r="E24" s="3" t="s">
        <v>61</v>
      </c>
      <c r="F24" s="3">
        <v>40.64</v>
      </c>
      <c r="G24" s="3">
        <v>1.3838999999999999</v>
      </c>
      <c r="H24" s="3">
        <v>30.03</v>
      </c>
      <c r="I24" s="3" t="s">
        <v>67</v>
      </c>
      <c r="J24" s="3">
        <v>4982</v>
      </c>
    </row>
    <row r="25" spans="4:10" x14ac:dyDescent="0.3">
      <c r="D25" s="3">
        <v>90</v>
      </c>
      <c r="E25" s="3" t="s">
        <v>62</v>
      </c>
      <c r="F25" s="3">
        <v>40.64</v>
      </c>
      <c r="G25" s="3">
        <v>1.2301</v>
      </c>
      <c r="H25" s="3">
        <v>30.02</v>
      </c>
      <c r="I25" s="3" t="s">
        <v>67</v>
      </c>
      <c r="J25" s="3">
        <v>4429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06CD-D978-43F1-93C7-6F202BD59A9F}">
  <dimension ref="E9:F15"/>
  <sheetViews>
    <sheetView tabSelected="1" topLeftCell="A64" workbookViewId="0">
      <selection activeCell="M22" sqref="M22"/>
    </sheetView>
  </sheetViews>
  <sheetFormatPr defaultRowHeight="14.4" x14ac:dyDescent="0.3"/>
  <cols>
    <col min="5" max="5" width="14.796875" customWidth="1"/>
    <col min="6" max="6" width="15.796875" customWidth="1"/>
  </cols>
  <sheetData>
    <row r="9" spans="5:6" x14ac:dyDescent="0.3">
      <c r="E9" t="s">
        <v>68</v>
      </c>
      <c r="F9" t="s">
        <v>69</v>
      </c>
    </row>
    <row r="10" spans="5:6" x14ac:dyDescent="0.3">
      <c r="E10" s="1">
        <v>5000</v>
      </c>
      <c r="F10">
        <v>0.79079999999999995</v>
      </c>
    </row>
    <row r="11" spans="5:6" x14ac:dyDescent="0.3">
      <c r="E11" s="1">
        <v>7500</v>
      </c>
      <c r="F11">
        <v>1.1861999999999999</v>
      </c>
    </row>
    <row r="12" spans="5:6" x14ac:dyDescent="0.3">
      <c r="E12" s="1">
        <v>10000</v>
      </c>
      <c r="F12">
        <v>1.5842000000000001</v>
      </c>
    </row>
    <row r="13" spans="5:6" x14ac:dyDescent="0.3">
      <c r="E13" s="1">
        <v>12500</v>
      </c>
      <c r="F13">
        <v>1.9771000000000001</v>
      </c>
    </row>
    <row r="14" spans="5:6" x14ac:dyDescent="0.3">
      <c r="E14" s="1">
        <v>15000</v>
      </c>
      <c r="F14">
        <v>2.3723999999999998</v>
      </c>
    </row>
    <row r="15" spans="5:6" x14ac:dyDescent="0.3">
      <c r="E15" s="1">
        <v>20000</v>
      </c>
      <c r="F15">
        <v>3.1633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C0F7-3B8A-466B-835E-126E0FAEDD03}">
  <dimension ref="D5:E11"/>
  <sheetViews>
    <sheetView workbookViewId="0">
      <selection activeCell="O20" sqref="O20"/>
    </sheetView>
  </sheetViews>
  <sheetFormatPr defaultRowHeight="14.4" x14ac:dyDescent="0.3"/>
  <cols>
    <col min="4" max="4" width="15.296875" customWidth="1"/>
    <col min="5" max="5" width="14.59765625" customWidth="1"/>
  </cols>
  <sheetData>
    <row r="5" spans="4:5" x14ac:dyDescent="0.3">
      <c r="D5" t="s">
        <v>70</v>
      </c>
      <c r="E5" t="s">
        <v>71</v>
      </c>
    </row>
    <row r="6" spans="4:5" x14ac:dyDescent="0.3">
      <c r="D6" s="1">
        <v>5000</v>
      </c>
      <c r="E6">
        <v>40.64</v>
      </c>
    </row>
    <row r="7" spans="4:5" x14ac:dyDescent="0.3">
      <c r="D7" s="1">
        <v>7500</v>
      </c>
      <c r="E7">
        <v>40.64</v>
      </c>
    </row>
    <row r="8" spans="4:5" x14ac:dyDescent="0.3">
      <c r="D8" s="1">
        <v>10000</v>
      </c>
      <c r="E8">
        <v>40.64</v>
      </c>
    </row>
    <row r="9" spans="4:5" x14ac:dyDescent="0.3">
      <c r="D9" s="1">
        <v>12500</v>
      </c>
      <c r="E9">
        <v>40.64</v>
      </c>
    </row>
    <row r="10" spans="4:5" x14ac:dyDescent="0.3">
      <c r="D10" s="1">
        <v>15000</v>
      </c>
      <c r="E10">
        <v>40.64</v>
      </c>
    </row>
    <row r="11" spans="4:5" x14ac:dyDescent="0.3">
      <c r="D11" s="1">
        <v>20000</v>
      </c>
      <c r="E11">
        <v>40.64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784C-9465-4154-8147-4691D9D5EAB2}">
  <dimension ref="F9:G14"/>
  <sheetViews>
    <sheetView topLeftCell="B1" workbookViewId="0">
      <selection activeCell="L20" sqref="L20"/>
    </sheetView>
  </sheetViews>
  <sheetFormatPr defaultRowHeight="14.4" x14ac:dyDescent="0.3"/>
  <cols>
    <col min="6" max="6" width="19" customWidth="1"/>
    <col min="7" max="7" width="16.3984375" customWidth="1"/>
  </cols>
  <sheetData>
    <row r="9" spans="6:7" x14ac:dyDescent="0.3">
      <c r="F9" t="s">
        <v>72</v>
      </c>
      <c r="G9" t="s">
        <v>73</v>
      </c>
    </row>
    <row r="10" spans="6:7" x14ac:dyDescent="0.3">
      <c r="F10">
        <v>3</v>
      </c>
      <c r="G10">
        <v>0.79079999999999995</v>
      </c>
    </row>
    <row r="11" spans="6:7" x14ac:dyDescent="0.3">
      <c r="F11">
        <v>4</v>
      </c>
      <c r="G11">
        <v>1.1861999999999999</v>
      </c>
    </row>
    <row r="12" spans="6:7" x14ac:dyDescent="0.3">
      <c r="F12">
        <v>5</v>
      </c>
      <c r="G12">
        <v>1.5820000000000001</v>
      </c>
    </row>
    <row r="13" spans="6:7" x14ac:dyDescent="0.3">
      <c r="F13">
        <v>6</v>
      </c>
      <c r="G13">
        <v>1.9770000000000001</v>
      </c>
    </row>
    <row r="14" spans="6:7" x14ac:dyDescent="0.3">
      <c r="F14">
        <v>7</v>
      </c>
      <c r="G14">
        <v>2.3723999999999998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F48C-B50B-44CC-A2DC-B9EDA866FE40}">
  <dimension ref="D7:E12"/>
  <sheetViews>
    <sheetView topLeftCell="A5" workbookViewId="0">
      <selection activeCell="L22" sqref="L22"/>
    </sheetView>
  </sheetViews>
  <sheetFormatPr defaultRowHeight="14.4" x14ac:dyDescent="0.3"/>
  <cols>
    <col min="4" max="4" width="19" customWidth="1"/>
    <col min="5" max="5" width="14.59765625" customWidth="1"/>
  </cols>
  <sheetData>
    <row r="7" spans="4:5" x14ac:dyDescent="0.3">
      <c r="D7" t="s">
        <v>72</v>
      </c>
      <c r="E7" t="s">
        <v>71</v>
      </c>
    </row>
    <row r="8" spans="4:5" x14ac:dyDescent="0.3">
      <c r="D8">
        <v>3</v>
      </c>
      <c r="E8">
        <v>20.32</v>
      </c>
    </row>
    <row r="9" spans="4:5" x14ac:dyDescent="0.3">
      <c r="D9">
        <v>4</v>
      </c>
      <c r="E9">
        <v>30.48</v>
      </c>
    </row>
    <row r="10" spans="4:5" x14ac:dyDescent="0.3">
      <c r="D10">
        <v>5</v>
      </c>
      <c r="E10">
        <v>40.64</v>
      </c>
    </row>
    <row r="11" spans="4:5" x14ac:dyDescent="0.3">
      <c r="D11">
        <v>6</v>
      </c>
      <c r="E11">
        <v>50.81</v>
      </c>
    </row>
    <row r="12" spans="4:5" x14ac:dyDescent="0.3">
      <c r="D12">
        <v>7</v>
      </c>
      <c r="E12">
        <v>60.96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E557-52CE-4056-A0DB-C56506076F30}">
  <dimension ref="D7:E12"/>
  <sheetViews>
    <sheetView workbookViewId="0">
      <selection activeCell="G6" sqref="G6"/>
    </sheetView>
  </sheetViews>
  <sheetFormatPr defaultRowHeight="14.4" x14ac:dyDescent="0.3"/>
  <cols>
    <col min="4" max="4" width="20.09765625" customWidth="1"/>
    <col min="5" max="5" width="16.3984375" customWidth="1"/>
  </cols>
  <sheetData>
    <row r="7" spans="4:5" x14ac:dyDescent="0.3">
      <c r="D7" t="s">
        <v>74</v>
      </c>
      <c r="E7" t="s">
        <v>73</v>
      </c>
    </row>
    <row r="8" spans="4:5" x14ac:dyDescent="0.3">
      <c r="D8">
        <v>20</v>
      </c>
      <c r="E8">
        <v>1.57</v>
      </c>
    </row>
    <row r="9" spans="4:5" x14ac:dyDescent="0.3">
      <c r="D9">
        <v>30</v>
      </c>
      <c r="E9">
        <v>1.5842000000000001</v>
      </c>
    </row>
    <row r="10" spans="4:5" x14ac:dyDescent="0.3">
      <c r="D10">
        <v>40</v>
      </c>
      <c r="E10">
        <v>1.5936999999999999</v>
      </c>
    </row>
    <row r="11" spans="4:5" x14ac:dyDescent="0.3">
      <c r="D11">
        <v>50</v>
      </c>
      <c r="E11">
        <v>1.6061000000000001</v>
      </c>
    </row>
    <row r="12" spans="4:5" x14ac:dyDescent="0.3">
      <c r="D12">
        <v>60</v>
      </c>
      <c r="E12">
        <v>1.6189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595D-FD01-453D-A618-9631B6499B06}">
  <dimension ref="C9:D14"/>
  <sheetViews>
    <sheetView topLeftCell="A15" workbookViewId="0">
      <selection activeCell="N15" sqref="N15"/>
    </sheetView>
  </sheetViews>
  <sheetFormatPr defaultRowHeight="14.4" x14ac:dyDescent="0.3"/>
  <cols>
    <col min="3" max="3" width="18.19921875" customWidth="1"/>
    <col min="4" max="4" width="16.3984375" customWidth="1"/>
  </cols>
  <sheetData>
    <row r="9" spans="3:4" x14ac:dyDescent="0.3">
      <c r="C9" t="s">
        <v>75</v>
      </c>
      <c r="D9" t="s">
        <v>73</v>
      </c>
    </row>
    <row r="10" spans="3:4" x14ac:dyDescent="0.3">
      <c r="C10">
        <v>50</v>
      </c>
      <c r="D10">
        <v>2.2143000000000002</v>
      </c>
    </row>
    <row r="11" spans="3:4" x14ac:dyDescent="0.3">
      <c r="C11">
        <v>60</v>
      </c>
      <c r="D11">
        <v>1.8452</v>
      </c>
    </row>
    <row r="12" spans="3:4" x14ac:dyDescent="0.3">
      <c r="C12">
        <v>70</v>
      </c>
      <c r="D12">
        <v>1.5820000000000001</v>
      </c>
    </row>
    <row r="13" spans="3:4" x14ac:dyDescent="0.3">
      <c r="C13">
        <v>80</v>
      </c>
      <c r="D13">
        <v>1.3838999999999999</v>
      </c>
    </row>
    <row r="14" spans="3:4" x14ac:dyDescent="0.3">
      <c r="C14">
        <v>90</v>
      </c>
      <c r="D14">
        <v>1.2301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haseen gul</dc:creator>
  <cp:lastModifiedBy>haseen gul</cp:lastModifiedBy>
  <dcterms:created xsi:type="dcterms:W3CDTF">2026-10-06T07:36:11Z</dcterms:created>
  <dcterms:modified xsi:type="dcterms:W3CDTF">2026-10-08T12:20:34Z</dcterms:modified>
</cp:coreProperties>
</file>